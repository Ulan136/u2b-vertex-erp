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bc765a9a2cc8b4/Рабочий стол/МУХИТ/U2B-VERTEX/"/>
    </mc:Choice>
  </mc:AlternateContent>
  <xr:revisionPtr revIDLastSave="17" documentId="8_{30C378DC-3D20-49EA-925E-5E1706707064}" xr6:coauthVersionLast="47" xr6:coauthVersionMax="47" xr10:uidLastSave="{26560D1A-E00E-477C-AF43-5BE8F81CAFBC}"/>
  <bookViews>
    <workbookView xWindow="-120" yWindow="-120" windowWidth="20730" windowHeight="11040" xr2:uid="{00000000-000D-0000-FFFF-FFFF00000000}"/>
  </bookViews>
  <sheets>
    <sheet name="Каспи" sheetId="79" r:id="rId1"/>
    <sheet name="БЦК" sheetId="81" r:id="rId2"/>
  </sheets>
  <definedNames>
    <definedName name="_xlnm.Print_Titles" localSheetId="1">БЦК!$26:$26</definedName>
    <definedName name="_xlnm.Print_Titles" localSheetId="0">Каспи!$26:$26</definedName>
    <definedName name="_xlnm.Print_Area" localSheetId="1">БЦК!$A$1:$AM$49</definedName>
    <definedName name="_xlnm.Print_Area" localSheetId="0">Каспи!$A$1:$AM$49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" i="81" l="1"/>
  <c r="AG27" i="81"/>
  <c r="AG30" i="81" s="1"/>
  <c r="AG28" i="79"/>
  <c r="AG27" i="79"/>
  <c r="AG30" i="79" l="1"/>
</calcChain>
</file>

<file path=xl/sharedStrings.xml><?xml version="1.0" encoding="utf-8"?>
<sst xmlns="http://schemas.openxmlformats.org/spreadsheetml/2006/main" count="70" uniqueCount="37">
  <si>
    <t>Внимание! Оплата данного счета означает согласие с условиями поставки товара.
Уведомление об оплате обязательно, в противном случае не гарантируется наличие
товара на складе. Товар отпускается по факту прихода денег на р/с Поставщика,
самовывозом, при наличии доверенности и документов удостоверяющих личность.</t>
  </si>
  <si>
    <t>Бенефициар:</t>
  </si>
  <si>
    <t>ИИК</t>
  </si>
  <si>
    <t>Кбе</t>
  </si>
  <si>
    <t>Банк бенефициара:</t>
  </si>
  <si>
    <t>БИК</t>
  </si>
  <si>
    <t>Код назначения платежа</t>
  </si>
  <si>
    <t>Поставщик:</t>
  </si>
  <si>
    <t>Покупатель:</t>
  </si>
  <si>
    <t>Договор:</t>
  </si>
  <si>
    <t>№</t>
  </si>
  <si>
    <t>Код</t>
  </si>
  <si>
    <t>Наименование</t>
  </si>
  <si>
    <t>Кол-во</t>
  </si>
  <si>
    <t>Ед.</t>
  </si>
  <si>
    <t>Цена</t>
  </si>
  <si>
    <t>Сумма</t>
  </si>
  <si>
    <t>Итого:</t>
  </si>
  <si>
    <t>Исполнитель</t>
  </si>
  <si>
    <t>шт</t>
  </si>
  <si>
    <t>Без НДС</t>
  </si>
  <si>
    <t>ТОО "VERTEX SERVICE"</t>
  </si>
  <si>
    <t>БИН 250540031662</t>
  </si>
  <si>
    <t xml:space="preserve">/Молдабаев М.А./ </t>
  </si>
  <si>
    <t>БИН / ИИН: 250540031662
ТОО "VERTEX SERVICE"
РК, г. Тараз, улица Қазыбек би, дом 138, офис 102,  (+7 707 588 40 44)</t>
  </si>
  <si>
    <t>б/д</t>
  </si>
  <si>
    <t>KZ678562203151891360</t>
  </si>
  <si>
    <t>KCJBKZKX</t>
  </si>
  <si>
    <t>Счетчики воды "KAZMETER" KM-CW32. 
Метрологический класс "С"</t>
  </si>
  <si>
    <t>АO "Банк ЦентрКредит"</t>
  </si>
  <si>
    <t xml:space="preserve">Радиомодем ExpDevice NB-IoT 2-х канальный </t>
  </si>
  <si>
    <t>Счет на оплату № 36 от 08.07.2026 г.</t>
  </si>
  <si>
    <t>Всего к оплате:   Девяносто пять тысяч тенге 00 тиын</t>
  </si>
  <si>
    <t>KZ16722S000050961996</t>
  </si>
  <si>
    <t>АO "Kaspi Bank"</t>
  </si>
  <si>
    <t>CASPKZKA</t>
  </si>
  <si>
    <t>БИН / ИИН: 740222301930
ИП "Югай Юг Такси"
РК, Жамбылская обл., г.Тараз, ул. Байзак батыра, дом 195 А
ИИК: KZ1396519F0007801928,   БИК: IRTYKZKA,   Кбе:  17,   Банк: АО «Forte Bank»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</si>
</sst>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0" x14ac:knownFonts="1">
    <font>
      <sz val="8"/>
      <color rgb="FF000000"/>
      <name val="Arial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2" borderId="0"/>
    <xf numFmtId="0" fontId="9" fillId="2" borderId="0"/>
  </cellStyleXfs>
  <cellXfs count="67"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vertical="center" wrapText="1"/>
    </xf>
    <xf numFmtId="0" fontId="6" fillId="2" borderId="1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6" fillId="2" borderId="19" xfId="0" applyNumberFormat="1" applyFont="1" applyFill="1" applyBorder="1" applyAlignment="1">
      <alignment horizontal="center" vertical="center"/>
    </xf>
    <xf numFmtId="4" fontId="2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3" xfId="2" applyFont="1" applyBorder="1" applyAlignment="1">
      <alignment horizontal="center" vertical="top"/>
    </xf>
    <xf numFmtId="0" fontId="2" fillId="2" borderId="4" xfId="2" applyFont="1" applyBorder="1" applyAlignment="1">
      <alignment horizontal="center" vertical="top"/>
    </xf>
    <xf numFmtId="0" fontId="2" fillId="2" borderId="5" xfId="2" applyFont="1" applyBorder="1" applyAlignment="1">
      <alignment horizontal="left" wrapText="1"/>
    </xf>
    <xf numFmtId="0" fontId="2" fillId="2" borderId="5" xfId="2" applyFont="1" applyBorder="1" applyAlignment="1">
      <alignment horizontal="center" vertical="center" wrapText="1"/>
    </xf>
    <xf numFmtId="1" fontId="2" fillId="2" borderId="6" xfId="2" applyNumberFormat="1" applyFont="1" applyBorder="1" applyAlignment="1">
      <alignment horizontal="center" vertical="center" wrapText="1"/>
    </xf>
    <xf numFmtId="0" fontId="3" fillId="2" borderId="5" xfId="2" applyFont="1" applyBorder="1" applyAlignment="1">
      <alignment horizontal="left" vertical="center"/>
    </xf>
    <xf numFmtId="0" fontId="2" fillId="2" borderId="0" xfId="2" applyFont="1" applyAlignment="1">
      <alignment horizontal="center" vertical="center" wrapText="1"/>
    </xf>
    <xf numFmtId="0" fontId="2" fillId="2" borderId="7" xfId="2" applyFont="1" applyBorder="1" applyAlignment="1">
      <alignment horizontal="center" vertical="center" wrapText="1"/>
    </xf>
    <xf numFmtId="0" fontId="3" fillId="2" borderId="3" xfId="2" applyFont="1" applyBorder="1" applyAlignment="1">
      <alignment horizontal="left" vertical="top"/>
    </xf>
    <xf numFmtId="0" fontId="3" fillId="2" borderId="8" xfId="2" applyFont="1" applyBorder="1" applyAlignment="1">
      <alignment horizontal="left" vertical="center" wrapText="1"/>
    </xf>
    <xf numFmtId="0" fontId="2" fillId="2" borderId="8" xfId="2" applyFont="1" applyBorder="1" applyAlignment="1">
      <alignment horizontal="center" vertical="center" wrapText="1"/>
    </xf>
    <xf numFmtId="0" fontId="2" fillId="2" borderId="9" xfId="2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1CDEDD86-B6CB-45B9-8B05-37B842F4464E}"/>
    <cellStyle name="Обычный 3" xfId="2" xr:uid="{73B97D08-2068-463B-9308-E932FD49833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85725</xdr:rowOff>
    </xdr:from>
    <xdr:to>
      <xdr:col>10</xdr:col>
      <xdr:colOff>131989</xdr:colOff>
      <xdr:row>4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EC06DE3-07BB-43DA-9CE0-1C842AABD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99" t="53800" r="14801" b="25200"/>
        <a:stretch>
          <a:fillRect/>
        </a:stretch>
      </xdr:blipFill>
      <xdr:spPr bwMode="auto">
        <a:xfrm>
          <a:off x="114300" y="219075"/>
          <a:ext cx="1436914" cy="428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47625</xdr:colOff>
      <xdr:row>33</xdr:row>
      <xdr:rowOff>85146</xdr:rowOff>
    </xdr:from>
    <xdr:to>
      <xdr:col>12</xdr:col>
      <xdr:colOff>168910</xdr:colOff>
      <xdr:row>44</xdr:row>
      <xdr:rowOff>123246</xdr:rowOff>
    </xdr:to>
    <xdr:pic>
      <xdr:nvPicPr>
        <xdr:cNvPr id="3" name="Рисунок 2" descr="Изображение выглядит как круг, логотип, Шрифт, эмблема&#10;&#10;Содержимое, созданное искусственным интеллектом, может быть неверным.">
          <a:extLst>
            <a:ext uri="{FF2B5EF4-FFF2-40B4-BE49-F238E27FC236}">
              <a16:creationId xmlns:a16="http://schemas.microsoft.com/office/drawing/2014/main" id="{16C687DD-66DF-4EF5-BCCA-4B5A9F86C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6228771"/>
          <a:ext cx="1492885" cy="1600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190500</xdr:colOff>
      <xdr:row>32</xdr:row>
      <xdr:rowOff>76200</xdr:rowOff>
    </xdr:from>
    <xdr:to>
      <xdr:col>16</xdr:col>
      <xdr:colOff>47625</xdr:colOff>
      <xdr:row>37</xdr:row>
      <xdr:rowOff>71810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6E3D4A1-ED5B-405D-B005-8FE747A1C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057900"/>
          <a:ext cx="1057275" cy="719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85725</xdr:rowOff>
    </xdr:from>
    <xdr:to>
      <xdr:col>10</xdr:col>
      <xdr:colOff>131989</xdr:colOff>
      <xdr:row>4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CA52CCB-D69C-4E0E-AE97-63211E553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99" t="53800" r="14801" b="25200"/>
        <a:stretch>
          <a:fillRect/>
        </a:stretch>
      </xdr:blipFill>
      <xdr:spPr bwMode="auto">
        <a:xfrm>
          <a:off x="114300" y="219075"/>
          <a:ext cx="1436914" cy="428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47625</xdr:colOff>
      <xdr:row>33</xdr:row>
      <xdr:rowOff>85146</xdr:rowOff>
    </xdr:from>
    <xdr:to>
      <xdr:col>12</xdr:col>
      <xdr:colOff>168910</xdr:colOff>
      <xdr:row>44</xdr:row>
      <xdr:rowOff>123246</xdr:rowOff>
    </xdr:to>
    <xdr:pic>
      <xdr:nvPicPr>
        <xdr:cNvPr id="3" name="Рисунок 2" descr="Изображение выглядит как круг, логотип, Шрифт, эмблема&#10;&#10;Содержимое, созданное искусственным интеллектом, может быть неверным.">
          <a:extLst>
            <a:ext uri="{FF2B5EF4-FFF2-40B4-BE49-F238E27FC236}">
              <a16:creationId xmlns:a16="http://schemas.microsoft.com/office/drawing/2014/main" id="{A34F3D7E-7D46-47CB-8C0D-87C808E5E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6228771"/>
          <a:ext cx="1492885" cy="1600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190500</xdr:colOff>
      <xdr:row>32</xdr:row>
      <xdr:rowOff>76200</xdr:rowOff>
    </xdr:from>
    <xdr:to>
      <xdr:col>16</xdr:col>
      <xdr:colOff>47625</xdr:colOff>
      <xdr:row>37</xdr:row>
      <xdr:rowOff>71810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AF8FFA8-6A79-4A03-9EFA-4B9E7B74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057900"/>
          <a:ext cx="1057275" cy="719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0277-F4E9-4237-BD1F-8C611A5B840D}">
  <sheetPr>
    <tabColor rgb="FFFF0000"/>
    <outlinePr summaryBelow="0" summaryRight="0"/>
    <pageSetUpPr fitToPage="1"/>
  </sheetPr>
  <dimension ref="A1:AM36"/>
  <sheetViews>
    <sheetView tabSelected="1" topLeftCell="A3" zoomScaleNormal="100" workbookViewId="0">
      <selection activeCell="AK15" sqref="AK15"/>
    </sheetView>
  </sheetViews>
  <sheetFormatPr defaultColWidth="10.5" defaultRowHeight="11.45" customHeight="1" x14ac:dyDescent="0.2"/>
  <cols>
    <col min="1" max="1" width="1.1640625" style="1" customWidth="1"/>
    <col min="2" max="2" width="6.6640625" style="1" customWidth="1"/>
    <col min="3" max="3" width="3.5" style="1" hidden="1" customWidth="1"/>
    <col min="4" max="5" width="3.5" style="1" customWidth="1"/>
    <col min="6" max="6" width="3.1640625" style="1" customWidth="1"/>
    <col min="7" max="7" width="3.5" style="1" hidden="1" customWidth="1"/>
    <col min="8" max="8" width="0.1640625" style="1" hidden="1" customWidth="1"/>
    <col min="9" max="9" width="3.33203125" style="1" customWidth="1"/>
    <col min="10" max="18" width="3.5" style="1" customWidth="1"/>
    <col min="19" max="19" width="4.83203125" style="1" customWidth="1"/>
    <col min="20" max="20" width="1.83203125" style="1" customWidth="1"/>
    <col min="21" max="22" width="3.5" style="1" customWidth="1"/>
    <col min="23" max="24" width="1.83203125" style="1" customWidth="1"/>
    <col min="25" max="25" width="3.5" style="1" customWidth="1"/>
    <col min="26" max="26" width="2.83203125" style="1" customWidth="1"/>
    <col min="27" max="27" width="0.6640625" style="1" customWidth="1"/>
    <col min="28" max="31" width="3.5" style="1" customWidth="1"/>
    <col min="32" max="33" width="1.83203125" style="1" customWidth="1"/>
    <col min="34" max="37" width="3.5" style="1" customWidth="1"/>
    <col min="38" max="38" width="2.1640625" style="1" customWidth="1"/>
    <col min="39" max="39" width="0.83203125" style="1" customWidth="1"/>
    <col min="40" max="40" width="0.5" customWidth="1"/>
  </cols>
  <sheetData>
    <row r="1" spans="2:39" s="1" customFormat="1" ht="11.1" customHeight="1" x14ac:dyDescent="0.2">
      <c r="G1" s="6"/>
      <c r="H1" s="6"/>
      <c r="I1" s="6"/>
      <c r="J1" s="6"/>
      <c r="K1" s="6"/>
      <c r="L1" s="9" t="s">
        <v>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6"/>
    </row>
    <row r="2" spans="2:39" s="1" customFormat="1" ht="11.1" customHeight="1" x14ac:dyDescent="0.2">
      <c r="G2" s="6"/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6"/>
    </row>
    <row r="3" spans="2:39" ht="11.1" customHeight="1" x14ac:dyDescent="0.2">
      <c r="G3" s="6"/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6"/>
    </row>
    <row r="4" spans="2:39" ht="11.1" customHeight="1" x14ac:dyDescent="0.2">
      <c r="G4" s="6"/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6"/>
    </row>
    <row r="5" spans="2:39" ht="11.1" customHeight="1" x14ac:dyDescent="0.2">
      <c r="G5" s="6"/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6"/>
    </row>
    <row r="6" spans="2:39" ht="11.1" customHeight="1" x14ac:dyDescent="0.2"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6"/>
    </row>
    <row r="7" spans="2:39" ht="11.1" customHeight="1" x14ac:dyDescent="0.2"/>
    <row r="8" spans="2:39" ht="12.95" customHeight="1" x14ac:dyDescent="0.2">
      <c r="B8" s="2"/>
    </row>
    <row r="9" spans="2:39" ht="12" customHeight="1" x14ac:dyDescent="0.2">
      <c r="B9" s="10" t="s">
        <v>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 t="s">
        <v>2</v>
      </c>
      <c r="W9" s="11"/>
      <c r="X9" s="11"/>
      <c r="Y9" s="11"/>
      <c r="Z9" s="11"/>
      <c r="AA9" s="11"/>
      <c r="AB9" s="11"/>
      <c r="AC9" s="11"/>
      <c r="AD9" s="11"/>
      <c r="AE9" s="11"/>
      <c r="AF9" s="12" t="s">
        <v>3</v>
      </c>
      <c r="AG9" s="12"/>
      <c r="AH9" s="12"/>
      <c r="AI9" s="12"/>
      <c r="AJ9" s="12"/>
      <c r="AK9" s="12"/>
      <c r="AL9" s="12"/>
      <c r="AM9" s="12"/>
    </row>
    <row r="10" spans="2:39" ht="21" customHeight="1" x14ac:dyDescent="0.2">
      <c r="B10" s="57" t="s">
        <v>21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 t="s">
        <v>33</v>
      </c>
      <c r="W10" s="58"/>
      <c r="X10" s="58"/>
      <c r="Y10" s="58"/>
      <c r="Z10" s="58"/>
      <c r="AA10" s="58"/>
      <c r="AB10" s="58"/>
      <c r="AC10" s="58"/>
      <c r="AD10" s="58"/>
      <c r="AE10" s="58"/>
      <c r="AF10" s="59">
        <v>17</v>
      </c>
      <c r="AG10" s="59"/>
      <c r="AH10" s="59"/>
      <c r="AI10" s="59"/>
      <c r="AJ10" s="59"/>
      <c r="AK10" s="59"/>
      <c r="AL10" s="59"/>
      <c r="AM10" s="59"/>
    </row>
    <row r="11" spans="2:39" ht="21" customHeight="1" x14ac:dyDescent="0.2">
      <c r="B11" s="60" t="s">
        <v>22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58"/>
      <c r="W11" s="61"/>
      <c r="X11" s="61"/>
      <c r="Y11" s="61"/>
      <c r="Z11" s="61"/>
      <c r="AA11" s="61"/>
      <c r="AB11" s="61"/>
      <c r="AC11" s="61"/>
      <c r="AD11" s="61"/>
      <c r="AE11" s="61"/>
      <c r="AF11" s="58"/>
      <c r="AG11" s="61"/>
      <c r="AH11" s="61"/>
      <c r="AI11" s="61"/>
      <c r="AJ11" s="61"/>
      <c r="AK11" s="61"/>
      <c r="AL11" s="61"/>
      <c r="AM11" s="62"/>
    </row>
    <row r="12" spans="2:39" ht="12" customHeight="1" x14ac:dyDescent="0.2">
      <c r="B12" s="63" t="s">
        <v>4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55" t="s">
        <v>5</v>
      </c>
      <c r="W12" s="55"/>
      <c r="X12" s="55"/>
      <c r="Y12" s="55"/>
      <c r="Z12" s="55"/>
      <c r="AA12" s="55"/>
      <c r="AB12" s="55"/>
      <c r="AC12" s="55"/>
      <c r="AD12" s="56" t="s">
        <v>6</v>
      </c>
      <c r="AE12" s="56"/>
      <c r="AF12" s="56"/>
      <c r="AG12" s="56"/>
      <c r="AH12" s="56"/>
      <c r="AI12" s="56"/>
      <c r="AJ12" s="56"/>
      <c r="AK12" s="56"/>
      <c r="AL12" s="56"/>
      <c r="AM12" s="56"/>
    </row>
    <row r="13" spans="2:39" ht="21" customHeight="1" x14ac:dyDescent="0.2">
      <c r="B13" s="64" t="s">
        <v>34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5" t="s">
        <v>35</v>
      </c>
      <c r="W13" s="65"/>
      <c r="X13" s="65"/>
      <c r="Y13" s="65"/>
      <c r="Z13" s="65"/>
      <c r="AA13" s="65"/>
      <c r="AB13" s="65"/>
      <c r="AC13" s="65"/>
      <c r="AD13" s="66">
        <v>710</v>
      </c>
      <c r="AE13" s="66"/>
      <c r="AF13" s="66"/>
      <c r="AG13" s="66"/>
      <c r="AH13" s="66"/>
      <c r="AI13" s="66"/>
      <c r="AJ13" s="66"/>
      <c r="AK13" s="66"/>
      <c r="AL13" s="66"/>
      <c r="AM13" s="66"/>
    </row>
    <row r="16" spans="2:39" ht="11.1" customHeight="1" x14ac:dyDescent="0.2">
      <c r="B16" s="23" t="s">
        <v>31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2:39" ht="11.1" customHeight="1" x14ac:dyDescent="0.2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2:39" s="1" customFormat="1" ht="6.95" customHeight="1" thickBot="1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2:39" s="1" customFormat="1" ht="6.95" customHeight="1" x14ac:dyDescent="0.2"/>
    <row r="20" spans="2:39" ht="39" customHeight="1" x14ac:dyDescent="0.2">
      <c r="B20" s="25" t="s">
        <v>7</v>
      </c>
      <c r="C20" s="25"/>
      <c r="D20" s="25"/>
      <c r="E20" s="25"/>
      <c r="F20" s="26" t="s">
        <v>24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2:39" s="1" customFormat="1" ht="6.75" customHeight="1" x14ac:dyDescent="0.2"/>
    <row r="22" spans="2:39" ht="55.5" customHeight="1" x14ac:dyDescent="0.2">
      <c r="B22" s="25" t="s">
        <v>8</v>
      </c>
      <c r="C22" s="25"/>
      <c r="D22" s="25"/>
      <c r="E22" s="25"/>
      <c r="F22" s="27" t="s">
        <v>36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2:39" s="1" customFormat="1" ht="6.95" customHeight="1" x14ac:dyDescent="0.2"/>
    <row r="24" spans="2:39" ht="12.95" customHeight="1" x14ac:dyDescent="0.2">
      <c r="B24" s="28" t="s">
        <v>9</v>
      </c>
      <c r="C24" s="28"/>
      <c r="D24" s="28"/>
      <c r="E24" s="28"/>
      <c r="F24" s="29" t="s">
        <v>25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2:39" s="1" customFormat="1" ht="6.95" customHeight="1" x14ac:dyDescent="0.2"/>
    <row r="26" spans="2:39" ht="12.95" customHeight="1" x14ac:dyDescent="0.2">
      <c r="B26" s="31" t="s">
        <v>10</v>
      </c>
      <c r="C26" s="32"/>
      <c r="D26" s="33" t="s">
        <v>11</v>
      </c>
      <c r="E26" s="34"/>
      <c r="F26" s="35" t="s">
        <v>12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T26" s="33" t="s">
        <v>13</v>
      </c>
      <c r="U26" s="36"/>
      <c r="V26" s="36"/>
      <c r="W26" s="34"/>
      <c r="X26" s="38" t="s">
        <v>14</v>
      </c>
      <c r="Y26" s="38"/>
      <c r="Z26" s="38"/>
      <c r="AA26" s="38" t="s">
        <v>15</v>
      </c>
      <c r="AB26" s="38"/>
      <c r="AC26" s="38"/>
      <c r="AD26" s="38"/>
      <c r="AE26" s="38"/>
      <c r="AF26" s="38"/>
      <c r="AG26" s="39" t="s">
        <v>16</v>
      </c>
      <c r="AH26" s="39"/>
      <c r="AI26" s="39"/>
      <c r="AJ26" s="39"/>
      <c r="AK26" s="39"/>
      <c r="AL26" s="40"/>
    </row>
    <row r="27" spans="2:39" ht="27.75" customHeight="1" x14ac:dyDescent="0.2">
      <c r="B27" s="8">
        <v>1</v>
      </c>
      <c r="C27" s="7"/>
      <c r="D27" s="44"/>
      <c r="E27" s="44"/>
      <c r="F27" s="45" t="s">
        <v>28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6">
        <v>1</v>
      </c>
      <c r="U27" s="44"/>
      <c r="V27" s="44"/>
      <c r="W27" s="47"/>
      <c r="X27" s="48" t="s">
        <v>19</v>
      </c>
      <c r="Y27" s="44"/>
      <c r="Z27" s="47"/>
      <c r="AA27" s="41">
        <v>50000</v>
      </c>
      <c r="AB27" s="42"/>
      <c r="AC27" s="42"/>
      <c r="AD27" s="42"/>
      <c r="AE27" s="42"/>
      <c r="AF27" s="49"/>
      <c r="AG27" s="41">
        <f>SUM(T27*AA27)</f>
        <v>50000</v>
      </c>
      <c r="AH27" s="42"/>
      <c r="AI27" s="42"/>
      <c r="AJ27" s="42"/>
      <c r="AK27" s="42"/>
      <c r="AL27" s="43"/>
    </row>
    <row r="28" spans="2:39" ht="27.75" customHeight="1" x14ac:dyDescent="0.2">
      <c r="B28" s="8">
        <v>2</v>
      </c>
      <c r="C28" s="7"/>
      <c r="D28" s="44"/>
      <c r="E28" s="44"/>
      <c r="F28" s="45" t="s">
        <v>30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6">
        <v>1</v>
      </c>
      <c r="U28" s="44"/>
      <c r="V28" s="44"/>
      <c r="W28" s="47"/>
      <c r="X28" s="48" t="s">
        <v>19</v>
      </c>
      <c r="Y28" s="44"/>
      <c r="Z28" s="47"/>
      <c r="AA28" s="41">
        <v>45000</v>
      </c>
      <c r="AB28" s="42"/>
      <c r="AC28" s="42"/>
      <c r="AD28" s="42"/>
      <c r="AE28" s="42"/>
      <c r="AF28" s="49"/>
      <c r="AG28" s="41">
        <f>SUM(T28*AA28)</f>
        <v>45000</v>
      </c>
      <c r="AH28" s="42"/>
      <c r="AI28" s="42"/>
      <c r="AJ28" s="42"/>
      <c r="AK28" s="42"/>
      <c r="AL28" s="43"/>
    </row>
    <row r="29" spans="2:39" s="1" customFormat="1" ht="6.95" customHeight="1" x14ac:dyDescent="0.2"/>
    <row r="30" spans="2:39" ht="12.95" customHeight="1" x14ac:dyDescent="0.2">
      <c r="AA30" s="4"/>
      <c r="AB30" s="4"/>
      <c r="AC30" s="4"/>
      <c r="AD30" s="4"/>
      <c r="AE30" s="4"/>
      <c r="AF30" s="4" t="s">
        <v>17</v>
      </c>
      <c r="AG30" s="50">
        <f>SUM(AG27:AL29)</f>
        <v>95000</v>
      </c>
      <c r="AH30" s="50"/>
      <c r="AI30" s="50"/>
      <c r="AJ30" s="50"/>
      <c r="AK30" s="50"/>
      <c r="AL30" s="50"/>
    </row>
    <row r="31" spans="2:39" ht="12.95" customHeight="1" x14ac:dyDescent="0.2">
      <c r="AA31" s="4"/>
      <c r="AB31" s="4"/>
      <c r="AC31" s="4"/>
      <c r="AD31" s="4"/>
      <c r="AE31" s="4"/>
      <c r="AF31" s="4" t="s">
        <v>20</v>
      </c>
      <c r="AG31" s="50"/>
      <c r="AH31" s="50"/>
      <c r="AI31" s="50"/>
      <c r="AJ31" s="50"/>
      <c r="AK31" s="50"/>
      <c r="AL31" s="50"/>
    </row>
    <row r="32" spans="2:39" ht="12.95" customHeight="1" x14ac:dyDescent="0.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 spans="2:39" ht="12.95" customHeight="1" x14ac:dyDescent="0.2">
      <c r="B33" s="26" t="s">
        <v>32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2:39" s="1" customFormat="1" ht="6.95" customHeight="1" thickBo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2:39" s="1" customFormat="1" ht="6" customHeight="1" x14ac:dyDescent="0.2"/>
    <row r="36" spans="2:39" ht="20.25" customHeight="1" x14ac:dyDescent="0.2">
      <c r="B36" s="5" t="s">
        <v>18</v>
      </c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4" t="s">
        <v>23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</row>
  </sheetData>
  <sheetProtection formatCells="0" formatColumns="0" formatRows="0" insertColumns="0" insertRows="0" insertHyperlinks="0" deleteColumns="0" deleteRows="0" sort="0" autoFilter="0" pivotTables="0"/>
  <mergeCells count="47">
    <mergeCell ref="AG30:AL30"/>
    <mergeCell ref="AG31:AL31"/>
    <mergeCell ref="B32:AM32"/>
    <mergeCell ref="B33:AK33"/>
    <mergeCell ref="G36:V36"/>
    <mergeCell ref="W36:AM36"/>
    <mergeCell ref="AG28:AL28"/>
    <mergeCell ref="D27:E27"/>
    <mergeCell ref="F27:S27"/>
    <mergeCell ref="T27:W27"/>
    <mergeCell ref="X27:Z27"/>
    <mergeCell ref="AA27:AF27"/>
    <mergeCell ref="AG27:AL27"/>
    <mergeCell ref="D28:E28"/>
    <mergeCell ref="F28:S28"/>
    <mergeCell ref="T28:W28"/>
    <mergeCell ref="X28:Z28"/>
    <mergeCell ref="AA28:AF28"/>
    <mergeCell ref="B24:E24"/>
    <mergeCell ref="F24:AM24"/>
    <mergeCell ref="B26:C26"/>
    <mergeCell ref="D26:E26"/>
    <mergeCell ref="F26:S26"/>
    <mergeCell ref="T26:W26"/>
    <mergeCell ref="X26:Z26"/>
    <mergeCell ref="AA26:AF26"/>
    <mergeCell ref="AG26:AL26"/>
    <mergeCell ref="B16:AM17"/>
    <mergeCell ref="B18:AM18"/>
    <mergeCell ref="B20:E20"/>
    <mergeCell ref="F20:AM20"/>
    <mergeCell ref="B22:E22"/>
    <mergeCell ref="F22:AM22"/>
    <mergeCell ref="B12:U12"/>
    <mergeCell ref="V12:AC12"/>
    <mergeCell ref="AD12:AM12"/>
    <mergeCell ref="B13:U13"/>
    <mergeCell ref="V13:AC13"/>
    <mergeCell ref="AD13:AM13"/>
    <mergeCell ref="L1:AL6"/>
    <mergeCell ref="B9:U9"/>
    <mergeCell ref="V9:AE9"/>
    <mergeCell ref="AF9:AM9"/>
    <mergeCell ref="B10:U10"/>
    <mergeCell ref="V10:AE11"/>
    <mergeCell ref="AF10:AM11"/>
    <mergeCell ref="B11:U11"/>
  </mergeCells>
  <pageMargins left="0.78740157480314965" right="0.39370078740157483" top="0.39370078740157483" bottom="0.39370078740157483" header="0.39370078740157483" footer="0.3937007874015748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43A4-9C48-42FB-BAA8-CFE77D9221E5}">
  <sheetPr>
    <tabColor rgb="FF00B050"/>
    <outlinePr summaryBelow="0" summaryRight="0"/>
    <pageSetUpPr fitToPage="1"/>
  </sheetPr>
  <dimension ref="A1:AM36"/>
  <sheetViews>
    <sheetView topLeftCell="A14" zoomScaleNormal="100" workbookViewId="0">
      <selection activeCell="F22" sqref="F22:AM22"/>
    </sheetView>
  </sheetViews>
  <sheetFormatPr defaultColWidth="10.5" defaultRowHeight="11.45" customHeight="1" x14ac:dyDescent="0.2"/>
  <cols>
    <col min="1" max="1" width="1.1640625" style="1" customWidth="1"/>
    <col min="2" max="2" width="6.6640625" style="1" customWidth="1"/>
    <col min="3" max="3" width="3.5" style="1" hidden="1" customWidth="1"/>
    <col min="4" max="5" width="3.5" style="1" customWidth="1"/>
    <col min="6" max="6" width="3.1640625" style="1" customWidth="1"/>
    <col min="7" max="7" width="3.5" style="1" hidden="1" customWidth="1"/>
    <col min="8" max="8" width="0.1640625" style="1" hidden="1" customWidth="1"/>
    <col min="9" max="9" width="3.33203125" style="1" customWidth="1"/>
    <col min="10" max="18" width="3.5" style="1" customWidth="1"/>
    <col min="19" max="19" width="4.83203125" style="1" customWidth="1"/>
    <col min="20" max="20" width="1.83203125" style="1" customWidth="1"/>
    <col min="21" max="22" width="3.5" style="1" customWidth="1"/>
    <col min="23" max="24" width="1.83203125" style="1" customWidth="1"/>
    <col min="25" max="25" width="3.5" style="1" customWidth="1"/>
    <col min="26" max="26" width="2.83203125" style="1" customWidth="1"/>
    <col min="27" max="27" width="0.6640625" style="1" customWidth="1"/>
    <col min="28" max="31" width="3.5" style="1" customWidth="1"/>
    <col min="32" max="33" width="1.83203125" style="1" customWidth="1"/>
    <col min="34" max="37" width="3.5" style="1" customWidth="1"/>
    <col min="38" max="38" width="2.1640625" style="1" customWidth="1"/>
    <col min="39" max="39" width="0.83203125" style="1" customWidth="1"/>
    <col min="40" max="40" width="0.5" customWidth="1"/>
  </cols>
  <sheetData>
    <row r="1" spans="2:39" s="1" customFormat="1" ht="11.1" customHeight="1" x14ac:dyDescent="0.2">
      <c r="G1" s="6"/>
      <c r="H1" s="6"/>
      <c r="I1" s="6"/>
      <c r="J1" s="6"/>
      <c r="K1" s="6"/>
      <c r="L1" s="9" t="s">
        <v>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6"/>
    </row>
    <row r="2" spans="2:39" s="1" customFormat="1" ht="11.1" customHeight="1" x14ac:dyDescent="0.2">
      <c r="G2" s="6"/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6"/>
    </row>
    <row r="3" spans="2:39" ht="11.1" customHeight="1" x14ac:dyDescent="0.2">
      <c r="G3" s="6"/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6"/>
    </row>
    <row r="4" spans="2:39" ht="11.1" customHeight="1" x14ac:dyDescent="0.2">
      <c r="G4" s="6"/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6"/>
    </row>
    <row r="5" spans="2:39" ht="11.1" customHeight="1" x14ac:dyDescent="0.2">
      <c r="G5" s="6"/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6"/>
    </row>
    <row r="6" spans="2:39" ht="11.1" customHeight="1" x14ac:dyDescent="0.2"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6"/>
    </row>
    <row r="7" spans="2:39" ht="11.1" customHeight="1" x14ac:dyDescent="0.2"/>
    <row r="8" spans="2:39" ht="12.95" customHeight="1" x14ac:dyDescent="0.2">
      <c r="B8" s="2"/>
    </row>
    <row r="9" spans="2:39" ht="12" customHeight="1" x14ac:dyDescent="0.2">
      <c r="B9" s="10" t="s">
        <v>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 t="s">
        <v>2</v>
      </c>
      <c r="W9" s="11"/>
      <c r="X9" s="11"/>
      <c r="Y9" s="11"/>
      <c r="Z9" s="11"/>
      <c r="AA9" s="11"/>
      <c r="AB9" s="11"/>
      <c r="AC9" s="11"/>
      <c r="AD9" s="11"/>
      <c r="AE9" s="11"/>
      <c r="AF9" s="12" t="s">
        <v>3</v>
      </c>
      <c r="AG9" s="12"/>
      <c r="AH9" s="12"/>
      <c r="AI9" s="12"/>
      <c r="AJ9" s="12"/>
      <c r="AK9" s="12"/>
      <c r="AL9" s="12"/>
      <c r="AM9" s="12"/>
    </row>
    <row r="10" spans="2:39" ht="21" customHeight="1" x14ac:dyDescent="0.2">
      <c r="B10" s="13" t="s">
        <v>21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4" t="s">
        <v>26</v>
      </c>
      <c r="W10" s="14"/>
      <c r="X10" s="14"/>
      <c r="Y10" s="14"/>
      <c r="Z10" s="14"/>
      <c r="AA10" s="14"/>
      <c r="AB10" s="14"/>
      <c r="AC10" s="14"/>
      <c r="AD10" s="14"/>
      <c r="AE10" s="14"/>
      <c r="AF10" s="16">
        <v>17</v>
      </c>
      <c r="AG10" s="16"/>
      <c r="AH10" s="16"/>
      <c r="AI10" s="16"/>
      <c r="AJ10" s="16"/>
      <c r="AK10" s="16"/>
      <c r="AL10" s="16"/>
      <c r="AM10" s="16"/>
    </row>
    <row r="11" spans="2:39" ht="21" customHeight="1" x14ac:dyDescent="0.2">
      <c r="B11" s="18" t="s">
        <v>22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4"/>
      <c r="W11" s="15"/>
      <c r="X11" s="15"/>
      <c r="Y11" s="15"/>
      <c r="Z11" s="15"/>
      <c r="AA11" s="15"/>
      <c r="AB11" s="15"/>
      <c r="AC11" s="15"/>
      <c r="AD11" s="15"/>
      <c r="AE11" s="15"/>
      <c r="AF11" s="14"/>
      <c r="AG11" s="15"/>
      <c r="AH11" s="15"/>
      <c r="AI11" s="15"/>
      <c r="AJ11" s="15"/>
      <c r="AK11" s="15"/>
      <c r="AL11" s="15"/>
      <c r="AM11" s="17"/>
    </row>
    <row r="12" spans="2:39" ht="12" customHeight="1" x14ac:dyDescent="0.2">
      <c r="B12" s="19" t="s">
        <v>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1" t="s">
        <v>5</v>
      </c>
      <c r="W12" s="11"/>
      <c r="X12" s="11"/>
      <c r="Y12" s="11"/>
      <c r="Z12" s="11"/>
      <c r="AA12" s="11"/>
      <c r="AB12" s="11"/>
      <c r="AC12" s="11"/>
      <c r="AD12" s="12" t="s">
        <v>6</v>
      </c>
      <c r="AE12" s="12"/>
      <c r="AF12" s="12"/>
      <c r="AG12" s="12"/>
      <c r="AH12" s="12"/>
      <c r="AI12" s="12"/>
      <c r="AJ12" s="12"/>
      <c r="AK12" s="12"/>
      <c r="AL12" s="12"/>
      <c r="AM12" s="12"/>
    </row>
    <row r="13" spans="2:39" ht="21" customHeight="1" x14ac:dyDescent="0.2">
      <c r="B13" s="20" t="s">
        <v>29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1" t="s">
        <v>27</v>
      </c>
      <c r="W13" s="21"/>
      <c r="X13" s="21"/>
      <c r="Y13" s="21"/>
      <c r="Z13" s="21"/>
      <c r="AA13" s="21"/>
      <c r="AB13" s="21"/>
      <c r="AC13" s="21"/>
      <c r="AD13" s="22">
        <v>710</v>
      </c>
      <c r="AE13" s="22"/>
      <c r="AF13" s="22"/>
      <c r="AG13" s="22"/>
      <c r="AH13" s="22"/>
      <c r="AI13" s="22"/>
      <c r="AJ13" s="22"/>
      <c r="AK13" s="22"/>
      <c r="AL13" s="22"/>
      <c r="AM13" s="22"/>
    </row>
    <row r="16" spans="2:39" ht="11.1" customHeight="1" x14ac:dyDescent="0.2">
      <c r="B16" s="23" t="s">
        <v>31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2:39" ht="11.1" customHeight="1" x14ac:dyDescent="0.2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2:39" s="1" customFormat="1" ht="6.95" customHeight="1" thickBot="1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2:39" s="1" customFormat="1" ht="6.95" customHeight="1" x14ac:dyDescent="0.2"/>
    <row r="20" spans="2:39" ht="39" customHeight="1" x14ac:dyDescent="0.2">
      <c r="B20" s="25" t="s">
        <v>7</v>
      </c>
      <c r="C20" s="25"/>
      <c r="D20" s="25"/>
      <c r="E20" s="25"/>
      <c r="F20" s="26" t="s">
        <v>24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2:39" s="1" customFormat="1" ht="6.75" customHeight="1" x14ac:dyDescent="0.2"/>
    <row r="22" spans="2:39" ht="55.5" customHeight="1" x14ac:dyDescent="0.2">
      <c r="B22" s="25" t="s">
        <v>8</v>
      </c>
      <c r="C22" s="25"/>
      <c r="D22" s="25"/>
      <c r="E22" s="25"/>
      <c r="F22" s="27" t="s">
        <v>36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2:39" s="1" customFormat="1" ht="6.95" customHeight="1" x14ac:dyDescent="0.2"/>
    <row r="24" spans="2:39" ht="12.95" customHeight="1" x14ac:dyDescent="0.2">
      <c r="B24" s="28" t="s">
        <v>9</v>
      </c>
      <c r="C24" s="28"/>
      <c r="D24" s="28"/>
      <c r="E24" s="28"/>
      <c r="F24" s="29" t="s">
        <v>25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2:39" s="1" customFormat="1" ht="6.95" customHeight="1" x14ac:dyDescent="0.2"/>
    <row r="26" spans="2:39" ht="12.95" customHeight="1" x14ac:dyDescent="0.2">
      <c r="B26" s="31" t="s">
        <v>10</v>
      </c>
      <c r="C26" s="32"/>
      <c r="D26" s="33" t="s">
        <v>11</v>
      </c>
      <c r="E26" s="34"/>
      <c r="F26" s="35" t="s">
        <v>12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T26" s="33" t="s">
        <v>13</v>
      </c>
      <c r="U26" s="36"/>
      <c r="V26" s="36"/>
      <c r="W26" s="34"/>
      <c r="X26" s="38" t="s">
        <v>14</v>
      </c>
      <c r="Y26" s="38"/>
      <c r="Z26" s="38"/>
      <c r="AA26" s="38" t="s">
        <v>15</v>
      </c>
      <c r="AB26" s="38"/>
      <c r="AC26" s="38"/>
      <c r="AD26" s="38"/>
      <c r="AE26" s="38"/>
      <c r="AF26" s="38"/>
      <c r="AG26" s="39" t="s">
        <v>16</v>
      </c>
      <c r="AH26" s="39"/>
      <c r="AI26" s="39"/>
      <c r="AJ26" s="39"/>
      <c r="AK26" s="39"/>
      <c r="AL26" s="40"/>
    </row>
    <row r="27" spans="2:39" ht="27.75" customHeight="1" x14ac:dyDescent="0.2">
      <c r="B27" s="8">
        <v>1</v>
      </c>
      <c r="C27" s="7"/>
      <c r="D27" s="44"/>
      <c r="E27" s="44"/>
      <c r="F27" s="45" t="s">
        <v>28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6">
        <v>1</v>
      </c>
      <c r="U27" s="44"/>
      <c r="V27" s="44"/>
      <c r="W27" s="47"/>
      <c r="X27" s="48" t="s">
        <v>19</v>
      </c>
      <c r="Y27" s="44"/>
      <c r="Z27" s="47"/>
      <c r="AA27" s="41">
        <v>50000</v>
      </c>
      <c r="AB27" s="42"/>
      <c r="AC27" s="42"/>
      <c r="AD27" s="42"/>
      <c r="AE27" s="42"/>
      <c r="AF27" s="49"/>
      <c r="AG27" s="41">
        <f>SUM(T27*AA27)</f>
        <v>50000</v>
      </c>
      <c r="AH27" s="42"/>
      <c r="AI27" s="42"/>
      <c r="AJ27" s="42"/>
      <c r="AK27" s="42"/>
      <c r="AL27" s="43"/>
    </row>
    <row r="28" spans="2:39" ht="27.75" customHeight="1" x14ac:dyDescent="0.2">
      <c r="B28" s="8">
        <v>2</v>
      </c>
      <c r="C28" s="7"/>
      <c r="D28" s="44"/>
      <c r="E28" s="44"/>
      <c r="F28" s="45" t="s">
        <v>30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6">
        <v>1</v>
      </c>
      <c r="U28" s="44"/>
      <c r="V28" s="44"/>
      <c r="W28" s="47"/>
      <c r="X28" s="48" t="s">
        <v>19</v>
      </c>
      <c r="Y28" s="44"/>
      <c r="Z28" s="47"/>
      <c r="AA28" s="41">
        <v>45000</v>
      </c>
      <c r="AB28" s="42"/>
      <c r="AC28" s="42"/>
      <c r="AD28" s="42"/>
      <c r="AE28" s="42"/>
      <c r="AF28" s="49"/>
      <c r="AG28" s="41">
        <f>SUM(T28*AA28)</f>
        <v>45000</v>
      </c>
      <c r="AH28" s="42"/>
      <c r="AI28" s="42"/>
      <c r="AJ28" s="42"/>
      <c r="AK28" s="42"/>
      <c r="AL28" s="43"/>
    </row>
    <row r="29" spans="2:39" s="1" customFormat="1" ht="6.95" customHeight="1" x14ac:dyDescent="0.2"/>
    <row r="30" spans="2:39" ht="12.95" customHeight="1" x14ac:dyDescent="0.2">
      <c r="AA30" s="4"/>
      <c r="AB30" s="4"/>
      <c r="AC30" s="4"/>
      <c r="AD30" s="4"/>
      <c r="AE30" s="4"/>
      <c r="AF30" s="4" t="s">
        <v>17</v>
      </c>
      <c r="AG30" s="50">
        <f>SUM(AG27:AL29)</f>
        <v>95000</v>
      </c>
      <c r="AH30" s="50"/>
      <c r="AI30" s="50"/>
      <c r="AJ30" s="50"/>
      <c r="AK30" s="50"/>
      <c r="AL30" s="50"/>
    </row>
    <row r="31" spans="2:39" ht="12.95" customHeight="1" x14ac:dyDescent="0.2">
      <c r="AA31" s="4"/>
      <c r="AB31" s="4"/>
      <c r="AC31" s="4"/>
      <c r="AD31" s="4"/>
      <c r="AE31" s="4"/>
      <c r="AF31" s="4" t="s">
        <v>20</v>
      </c>
      <c r="AG31" s="50"/>
      <c r="AH31" s="50"/>
      <c r="AI31" s="50"/>
      <c r="AJ31" s="50"/>
      <c r="AK31" s="50"/>
      <c r="AL31" s="50"/>
    </row>
    <row r="32" spans="2:39" ht="12.95" customHeight="1" x14ac:dyDescent="0.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 spans="2:39" ht="12.95" customHeight="1" x14ac:dyDescent="0.2">
      <c r="B33" s="26" t="s">
        <v>32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spans="2:39" s="1" customFormat="1" ht="6.95" customHeight="1" thickBo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2:39" s="1" customFormat="1" ht="6" customHeight="1" x14ac:dyDescent="0.2"/>
    <row r="36" spans="2:39" ht="20.25" customHeight="1" x14ac:dyDescent="0.2">
      <c r="B36" s="5" t="s">
        <v>18</v>
      </c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4" t="s">
        <v>23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</row>
  </sheetData>
  <sheetProtection formatCells="0" formatColumns="0" formatRows="0" insertColumns="0" insertRows="0" insertHyperlinks="0" deleteColumns="0" deleteRows="0" sort="0" autoFilter="0" pivotTables="0"/>
  <mergeCells count="47">
    <mergeCell ref="AG30:AL30"/>
    <mergeCell ref="AG31:AL31"/>
    <mergeCell ref="B32:AM32"/>
    <mergeCell ref="B33:AK33"/>
    <mergeCell ref="G36:V36"/>
    <mergeCell ref="W36:AM36"/>
    <mergeCell ref="D28:E28"/>
    <mergeCell ref="F28:S28"/>
    <mergeCell ref="T28:W28"/>
    <mergeCell ref="X28:Z28"/>
    <mergeCell ref="AA28:AF28"/>
    <mergeCell ref="AG28:AL28"/>
    <mergeCell ref="D27:E27"/>
    <mergeCell ref="F27:S27"/>
    <mergeCell ref="T27:W27"/>
    <mergeCell ref="X27:Z27"/>
    <mergeCell ref="AA27:AF27"/>
    <mergeCell ref="AG27:AL27"/>
    <mergeCell ref="B24:E24"/>
    <mergeCell ref="F24:AM24"/>
    <mergeCell ref="B26:C26"/>
    <mergeCell ref="D26:E26"/>
    <mergeCell ref="F26:S26"/>
    <mergeCell ref="T26:W26"/>
    <mergeCell ref="X26:Z26"/>
    <mergeCell ref="AA26:AF26"/>
    <mergeCell ref="AG26:AL26"/>
    <mergeCell ref="B16:AM17"/>
    <mergeCell ref="B18:AM18"/>
    <mergeCell ref="B20:E20"/>
    <mergeCell ref="F20:AM20"/>
    <mergeCell ref="B22:E22"/>
    <mergeCell ref="F22:AM22"/>
    <mergeCell ref="B12:U12"/>
    <mergeCell ref="V12:AC12"/>
    <mergeCell ref="AD12:AM12"/>
    <mergeCell ref="B13:U13"/>
    <mergeCell ref="V13:AC13"/>
    <mergeCell ref="AD13:AM13"/>
    <mergeCell ref="L1:AL6"/>
    <mergeCell ref="B9:U9"/>
    <mergeCell ref="V9:AE9"/>
    <mergeCell ref="AF9:AM9"/>
    <mergeCell ref="B10:U10"/>
    <mergeCell ref="V10:AE11"/>
    <mergeCell ref="AF10:AM11"/>
    <mergeCell ref="B11:U11"/>
  </mergeCells>
  <pageMargins left="0.78740157480314965" right="0.39370078740157483" top="0.39370078740157483" bottom="0.39370078740157483" header="0.39370078740157483" footer="0.3937007874015748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Каспи</vt:lpstr>
      <vt:lpstr>БЦК</vt:lpstr>
      <vt:lpstr>БЦК!Заголовки_для_печати</vt:lpstr>
      <vt:lpstr>Каспи!Заголовки_для_печати</vt:lpstr>
      <vt:lpstr>БЦК!Область_печати</vt:lpstr>
      <vt:lpstr>Каспи!Область_печати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Онлайн формирователь счетов на оплату https://findhow.org/3087-onlayn-formirovatel-aktov-vyipolnennyih-rabot-okazannyih-uslug.html</dc:title>
  <dc:subject>https://findhow.org/3087-onlayn-formirovatel-aktov-vyipolnennyih-rabot-okazannyih-uslug.html</dc:subject>
  <dc:creator>admin</dc:creator>
  <dc:description>https://findhow.org/3087-onlayn-formirovatel-aktov-vyipolnennyih-rabot-okazannyih-uslug.html</dc:description>
  <cp:lastModifiedBy>Metrology Vertex</cp:lastModifiedBy>
  <cp:lastPrinted>2026-07-08T07:00:41Z</cp:lastPrinted>
  <dcterms:created xsi:type="dcterms:W3CDTF">2018-12-28T13:08:35Z</dcterms:created>
  <dcterms:modified xsi:type="dcterms:W3CDTF">2026-07-08T15:15:37Z</dcterms:modified>
</cp:coreProperties>
</file>